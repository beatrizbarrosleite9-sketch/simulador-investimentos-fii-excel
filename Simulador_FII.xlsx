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dor" sheetId="1" state="visible" r:id="rId1"/>
    <sheet xmlns:r="http://schemas.openxmlformats.org/officeDocument/2006/relationships" name="Apo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color rgb="000000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Alocação por Perfil</a:t>
            </a:r>
          </a:p>
        </rich>
      </tx>
    </title>
    <plotArea>
      <pieChart>
        <varyColors val="1"/>
        <ser>
          <idx val="0"/>
          <order val="0"/>
          <tx>
            <strRef>
              <f>'Simulador'!H4</f>
            </strRef>
          </tx>
          <spPr>
            <a:ln xmlns:a="http://schemas.openxmlformats.org/drawingml/2006/main">
              <a:prstDash val="solid"/>
            </a:ln>
          </spPr>
          <cat>
            <numRef>
              <f>'Simulador'!$G$5:$G$10</f>
            </numRef>
          </cat>
          <val>
            <numRef>
              <f>'Simulador'!$H$5:$H$10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4" max="4"/>
    <col width="20" customWidth="1" min="5" max="5"/>
    <col width="20" customWidth="1" min="7" max="7"/>
    <col width="20" customWidth="1" min="8" max="8"/>
  </cols>
  <sheetData>
    <row r="1">
      <c r="A1" s="1" t="inlineStr">
        <is>
          <t>SIMULADOR DE INVESTIMENTOS FII</t>
        </is>
      </c>
    </row>
    <row r="2"/>
    <row r="4">
      <c r="A4" t="inlineStr">
        <is>
          <t>Salário</t>
        </is>
      </c>
      <c r="B4" s="2" t="n">
        <v>5000</v>
      </c>
      <c r="D4" t="inlineStr">
        <is>
          <t>Patrimônio Acumulado</t>
        </is>
      </c>
      <c r="E4" s="3">
        <f>VF(B7,B6*12,-B5,0,0)</f>
        <v/>
      </c>
      <c r="G4" t="inlineStr">
        <is>
          <t>Tipo Fundo</t>
        </is>
      </c>
      <c r="H4" t="inlineStr">
        <is>
          <t>%</t>
        </is>
      </c>
    </row>
    <row r="5">
      <c r="A5" t="inlineStr">
        <is>
          <t>Aporte Mensal</t>
        </is>
      </c>
      <c r="B5" s="2" t="n">
        <v>1500</v>
      </c>
      <c r="D5" t="inlineStr">
        <is>
          <t>Dividendos Mensais</t>
        </is>
      </c>
      <c r="E5" s="3">
        <f>E4*B7</f>
        <v/>
      </c>
      <c r="G5" t="inlineStr">
        <is>
          <t>Papel</t>
        </is>
      </c>
      <c r="H5">
        <f>PROCV($B$8&amp;G5,Apoio!$D$2:$E$19,2,FALSO)</f>
        <v/>
      </c>
    </row>
    <row r="6">
      <c r="A6" t="inlineStr">
        <is>
          <t>Prazo (anos)</t>
        </is>
      </c>
      <c r="B6" s="2" t="n">
        <v>10</v>
      </c>
      <c r="G6" t="inlineStr">
        <is>
          <t>Tijolo</t>
        </is>
      </c>
      <c r="H6">
        <f>PROCV($B$8&amp;G6,Apoio!$D$2:$E$19,2,FALSO)</f>
        <v/>
      </c>
    </row>
    <row r="7">
      <c r="A7" t="inlineStr">
        <is>
          <t>Taxa Mensal</t>
        </is>
      </c>
      <c r="B7" s="2" t="n">
        <v>0.01</v>
      </c>
      <c r="G7" t="inlineStr">
        <is>
          <t>Hibrido</t>
        </is>
      </c>
      <c r="H7">
        <f>PROCV($B$8&amp;G7,Apoio!$D$2:$E$19,2,FALSO)</f>
        <v/>
      </c>
    </row>
    <row r="8">
      <c r="A8" t="inlineStr">
        <is>
          <t>Perfil</t>
        </is>
      </c>
      <c r="B8" s="2" t="inlineStr">
        <is>
          <t>Moderado</t>
        </is>
      </c>
      <c r="D8" t="inlineStr">
        <is>
          <t>Cenários</t>
        </is>
      </c>
      <c r="G8" t="inlineStr">
        <is>
          <t>FOF</t>
        </is>
      </c>
      <c r="H8">
        <f>PROCV($B$8&amp;G8,Apoio!$D$2:$E$19,2,FALSO)</f>
        <v/>
      </c>
    </row>
    <row r="9">
      <c r="D9" t="inlineStr">
        <is>
          <t>Anos</t>
        </is>
      </c>
      <c r="E9" t="inlineStr">
        <is>
          <t>Patrimônio</t>
        </is>
      </c>
      <c r="G9" t="inlineStr">
        <is>
          <t>Hotel</t>
        </is>
      </c>
      <c r="H9">
        <f>PROCV($B$8&amp;G9,Apoio!$D$2:$E$19,2,FALSO)</f>
        <v/>
      </c>
    </row>
    <row r="10">
      <c r="D10" t="n">
        <v>2</v>
      </c>
      <c r="E10">
        <f>VF($B$7,D10*12,-$B$5,0,0)</f>
        <v/>
      </c>
      <c r="G10" t="inlineStr">
        <is>
          <t>Desenv</t>
        </is>
      </c>
      <c r="H10">
        <f>PROCV($B$8&amp;G10,Apoio!$D$2:$E$19,2,FALSO)</f>
        <v/>
      </c>
    </row>
    <row r="11">
      <c r="D11" t="n">
        <v>5</v>
      </c>
      <c r="E11">
        <f>VF($B$7,D11*12,-$B$5,0,0)</f>
        <v/>
      </c>
    </row>
    <row r="12">
      <c r="D12" t="n">
        <v>10</v>
      </c>
      <c r="E12">
        <f>VF($B$7,D12*12,-$B$5,0,0)</f>
        <v/>
      </c>
    </row>
    <row r="13">
      <c r="D13" t="n">
        <v>20</v>
      </c>
      <c r="E13">
        <f>VF($B$7,D13*12,-$B$5,0,0)</f>
        <v/>
      </c>
    </row>
    <row r="14">
      <c r="D14" t="n">
        <v>30</v>
      </c>
      <c r="E14">
        <f>VF($B$7,D14*12,-$B$5,0,0)</f>
        <v/>
      </c>
    </row>
  </sheetData>
  <mergeCells count="1">
    <mergeCell ref="A1:H2"/>
  </mergeCells>
  <dataValidations count="1">
    <dataValidation sqref="B8" showDropDown="0" showInputMessage="0" showErrorMessage="0" allowBlank="0" type="list">
      <formula1>"Conservador,Moderado,Agressivo"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Perfil</t>
        </is>
      </c>
      <c r="B1" t="inlineStr">
        <is>
          <t>Fundo</t>
        </is>
      </c>
      <c r="C1" t="inlineStr">
        <is>
          <t>Percentual</t>
        </is>
      </c>
      <c r="D1" t="inlineStr">
        <is>
          <t>Chave</t>
        </is>
      </c>
    </row>
    <row r="2">
      <c r="A2" t="inlineStr">
        <is>
          <t>Conservador</t>
        </is>
      </c>
      <c r="B2" t="inlineStr">
        <is>
          <t>Papel</t>
        </is>
      </c>
      <c r="C2" t="n">
        <v>40</v>
      </c>
      <c r="D2" t="inlineStr">
        <is>
          <t>ConservadorPapel</t>
        </is>
      </c>
      <c r="E2">
        <f>C2/100</f>
        <v/>
      </c>
    </row>
    <row r="3">
      <c r="A3" t="inlineStr">
        <is>
          <t>Conservador</t>
        </is>
      </c>
      <c r="B3" t="inlineStr">
        <is>
          <t>Tijolo</t>
        </is>
      </c>
      <c r="C3" t="n">
        <v>25</v>
      </c>
      <c r="D3" t="inlineStr">
        <is>
          <t>ConservadorTijolo</t>
        </is>
      </c>
      <c r="E3">
        <f>C3/100</f>
        <v/>
      </c>
    </row>
    <row r="4">
      <c r="A4" t="inlineStr">
        <is>
          <t>Conservador</t>
        </is>
      </c>
      <c r="B4" t="inlineStr">
        <is>
          <t>Hibrido</t>
        </is>
      </c>
      <c r="C4" t="n">
        <v>15</v>
      </c>
      <c r="D4" t="inlineStr">
        <is>
          <t>ConservadorHibrido</t>
        </is>
      </c>
      <c r="E4">
        <f>C4/100</f>
        <v/>
      </c>
    </row>
    <row r="5">
      <c r="A5" t="inlineStr">
        <is>
          <t>Conservador</t>
        </is>
      </c>
      <c r="B5" t="inlineStr">
        <is>
          <t>FOF</t>
        </is>
      </c>
      <c r="C5" t="n">
        <v>10</v>
      </c>
      <c r="D5" t="inlineStr">
        <is>
          <t>ConservadorFOF</t>
        </is>
      </c>
      <c r="E5">
        <f>C5/100</f>
        <v/>
      </c>
    </row>
    <row r="6">
      <c r="A6" t="inlineStr">
        <is>
          <t>Conservador</t>
        </is>
      </c>
      <c r="B6" t="inlineStr">
        <is>
          <t>Hotel</t>
        </is>
      </c>
      <c r="C6" t="n">
        <v>5</v>
      </c>
      <c r="D6" t="inlineStr">
        <is>
          <t>ConservadorHotel</t>
        </is>
      </c>
      <c r="E6">
        <f>C6/100</f>
        <v/>
      </c>
    </row>
    <row r="7">
      <c r="A7" t="inlineStr">
        <is>
          <t>Conservador</t>
        </is>
      </c>
      <c r="B7" t="inlineStr">
        <is>
          <t>Desenv</t>
        </is>
      </c>
      <c r="C7" t="n">
        <v>5</v>
      </c>
      <c r="D7" t="inlineStr">
        <is>
          <t>ConservadorDesenv</t>
        </is>
      </c>
      <c r="E7">
        <f>C7/100</f>
        <v/>
      </c>
    </row>
    <row r="8">
      <c r="A8" t="inlineStr">
        <is>
          <t>Moderado</t>
        </is>
      </c>
      <c r="B8" t="inlineStr">
        <is>
          <t>Papel</t>
        </is>
      </c>
      <c r="C8" t="n">
        <v>30</v>
      </c>
      <c r="D8" t="inlineStr">
        <is>
          <t>ModeradoPapel</t>
        </is>
      </c>
      <c r="E8">
        <f>C8/100</f>
        <v/>
      </c>
    </row>
    <row r="9">
      <c r="A9" t="inlineStr">
        <is>
          <t>Moderado</t>
        </is>
      </c>
      <c r="B9" t="inlineStr">
        <is>
          <t>Tijolo</t>
        </is>
      </c>
      <c r="C9" t="n">
        <v>25</v>
      </c>
      <c r="D9" t="inlineStr">
        <is>
          <t>ModeradoTijolo</t>
        </is>
      </c>
      <c r="E9">
        <f>C9/100</f>
        <v/>
      </c>
    </row>
    <row r="10">
      <c r="A10" t="inlineStr">
        <is>
          <t>Moderado</t>
        </is>
      </c>
      <c r="B10" t="inlineStr">
        <is>
          <t>Hibrido</t>
        </is>
      </c>
      <c r="C10" t="n">
        <v>20</v>
      </c>
      <c r="D10" t="inlineStr">
        <is>
          <t>ModeradoHibrido</t>
        </is>
      </c>
      <c r="E10">
        <f>C10/100</f>
        <v/>
      </c>
    </row>
    <row r="11">
      <c r="A11" t="inlineStr">
        <is>
          <t>Moderado</t>
        </is>
      </c>
      <c r="B11" t="inlineStr">
        <is>
          <t>FOF</t>
        </is>
      </c>
      <c r="C11" t="n">
        <v>10</v>
      </c>
      <c r="D11" t="inlineStr">
        <is>
          <t>ModeradoFOF</t>
        </is>
      </c>
      <c r="E11">
        <f>C11/100</f>
        <v/>
      </c>
    </row>
    <row r="12">
      <c r="A12" t="inlineStr">
        <is>
          <t>Moderado</t>
        </is>
      </c>
      <c r="B12" t="inlineStr">
        <is>
          <t>Hotel</t>
        </is>
      </c>
      <c r="C12" t="n">
        <v>5</v>
      </c>
      <c r="D12" t="inlineStr">
        <is>
          <t>ModeradoHotel</t>
        </is>
      </c>
      <c r="E12">
        <f>C12/100</f>
        <v/>
      </c>
    </row>
    <row r="13">
      <c r="A13" t="inlineStr">
        <is>
          <t>Moderado</t>
        </is>
      </c>
      <c r="B13" t="inlineStr">
        <is>
          <t>Desenv</t>
        </is>
      </c>
      <c r="C13" t="n">
        <v>10</v>
      </c>
      <c r="D13" t="inlineStr">
        <is>
          <t>ModeradoDesenv</t>
        </is>
      </c>
      <c r="E13">
        <f>C13/100</f>
        <v/>
      </c>
    </row>
    <row r="14">
      <c r="A14" t="inlineStr">
        <is>
          <t>Agressivo</t>
        </is>
      </c>
      <c r="B14" t="inlineStr">
        <is>
          <t>Papel</t>
        </is>
      </c>
      <c r="C14" t="n">
        <v>20</v>
      </c>
      <c r="D14" t="inlineStr">
        <is>
          <t>AgressivoPapel</t>
        </is>
      </c>
      <c r="E14">
        <f>C14/100</f>
        <v/>
      </c>
    </row>
    <row r="15">
      <c r="A15" t="inlineStr">
        <is>
          <t>Agressivo</t>
        </is>
      </c>
      <c r="B15" t="inlineStr">
        <is>
          <t>Tijolo</t>
        </is>
      </c>
      <c r="C15" t="n">
        <v>20</v>
      </c>
      <c r="D15" t="inlineStr">
        <is>
          <t>AgressivoTijolo</t>
        </is>
      </c>
      <c r="E15">
        <f>C15/100</f>
        <v/>
      </c>
    </row>
    <row r="16">
      <c r="A16" t="inlineStr">
        <is>
          <t>Agressivo</t>
        </is>
      </c>
      <c r="B16" t="inlineStr">
        <is>
          <t>Hibrido</t>
        </is>
      </c>
      <c r="C16" t="n">
        <v>20</v>
      </c>
      <c r="D16" t="inlineStr">
        <is>
          <t>AgressivoHibrido</t>
        </is>
      </c>
      <c r="E16">
        <f>C16/100</f>
        <v/>
      </c>
    </row>
    <row r="17">
      <c r="A17" t="inlineStr">
        <is>
          <t>Agressivo</t>
        </is>
      </c>
      <c r="B17" t="inlineStr">
        <is>
          <t>FOF</t>
        </is>
      </c>
      <c r="C17" t="n">
        <v>10</v>
      </c>
      <c r="D17" t="inlineStr">
        <is>
          <t>AgressivoFOF</t>
        </is>
      </c>
      <c r="E17">
        <f>C17/100</f>
        <v/>
      </c>
    </row>
    <row r="18">
      <c r="A18" t="inlineStr">
        <is>
          <t>Agressivo</t>
        </is>
      </c>
      <c r="B18" t="inlineStr">
        <is>
          <t>Hotel</t>
        </is>
      </c>
      <c r="C18" t="n">
        <v>10</v>
      </c>
      <c r="D18" t="inlineStr">
        <is>
          <t>AgressivoHotel</t>
        </is>
      </c>
      <c r="E18">
        <f>C18/100</f>
        <v/>
      </c>
    </row>
    <row r="19">
      <c r="A19" t="inlineStr">
        <is>
          <t>Agressivo</t>
        </is>
      </c>
      <c r="B19" t="inlineStr">
        <is>
          <t>Desenv</t>
        </is>
      </c>
      <c r="C19" t="n">
        <v>20</v>
      </c>
      <c r="D19" t="inlineStr">
        <is>
          <t>AgressivoDesenv</t>
        </is>
      </c>
      <c r="E19">
        <f>C19/100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BEATRIZ DA SILVA BISPO BARROS LEITE</dc:creator>
  <dcterms:created xsi:type="dcterms:W3CDTF">2026-10-13T13:50:52.4812465Z</dcterms:created>
  <dcterms:modified xsi:type="dcterms:W3CDTF">2026-10-13T13:50:52.4812465Z</dcterms:modified>
  <lastModifiedBy>BEATRIZ DA SILVA BISPO BARROS LEITE</lastModifiedBy>
</coreProperties>
</file>